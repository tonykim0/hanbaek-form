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완속\법령 및 메뉴얼\2. 완속 가이드라인\2026년\2. 준공서류 양식 및 신청서류 가이드라인\"/>
    </mc:Choice>
  </mc:AlternateContent>
  <xr:revisionPtr revIDLastSave="0" documentId="13_ncr:1_{48AA4B6E-DB96-4FA1-AD46-7B94418C693D}" xr6:coauthVersionLast="47" xr6:coauthVersionMax="47" xr10:uidLastSave="{00000000-0000-0000-0000-000000000000}"/>
  <bookViews>
    <workbookView xWindow="28680" yWindow="-120" windowWidth="29040" windowHeight="15720" xr2:uid="{8350CA25-A328-4E48-9407-197EADBC6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11" i="1"/>
  <c r="D7" i="1"/>
  <c r="I8" i="1"/>
  <c r="I9" i="1"/>
  <c r="I10" i="1"/>
  <c r="G7" i="1"/>
  <c r="F7" i="1"/>
  <c r="E7" i="1"/>
  <c r="H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5" authorId="0" shapeId="0" xr:uid="{116BEDA1-3354-4D81-B833-447868FE9A39}">
      <text>
        <r>
          <rPr>
            <b/>
            <sz val="9"/>
            <color indexed="81"/>
            <rFont val="돋움"/>
            <family val="3"/>
            <charset val="129"/>
          </rPr>
          <t>보조금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선정위원회를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</t>
        </r>
      </text>
    </comment>
    <comment ref="J6" authorId="0" shapeId="0" xr:uid="{C46BD445-E026-4851-8C03-29D9FD44934B}">
      <text>
        <r>
          <rPr>
            <b/>
            <sz val="9"/>
            <color indexed="81"/>
            <rFont val="돋움"/>
            <family val="3"/>
            <charset val="129"/>
          </rPr>
          <t>폴더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폴더명을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작성하여</t>
        </r>
        <r>
          <rPr>
            <b/>
            <sz val="9"/>
            <color indexed="81"/>
            <rFont val="Tahoma"/>
            <family val="2"/>
          </rPr>
          <t xml:space="preserve"> zip</t>
        </r>
        <r>
          <rPr>
            <b/>
            <sz val="9"/>
            <color indexed="81"/>
            <rFont val="돋움"/>
            <family val="3"/>
            <charset val="129"/>
          </rPr>
          <t>파일로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완속보조금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기타서류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첨부</t>
        </r>
      </text>
    </comment>
    <comment ref="D7" authorId="0" shapeId="0" xr:uid="{C0A5831A-97CF-41EE-8F2F-7D503C8EE799}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기수</t>
        </r>
        <r>
          <rPr>
            <b/>
            <sz val="9"/>
            <color indexed="81"/>
            <rFont val="Tahoma"/>
            <family val="2"/>
          </rPr>
          <t>(D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)]
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: +,
</t>
        </r>
        <r>
          <rPr>
            <b/>
            <sz val="9"/>
            <color indexed="81"/>
            <rFont val="돋움"/>
            <family val="3"/>
            <charset val="129"/>
          </rPr>
          <t>철거</t>
        </r>
        <r>
          <rPr>
            <b/>
            <sz val="9"/>
            <color indexed="81"/>
            <rFont val="Tahoma"/>
            <family val="2"/>
          </rPr>
          <t xml:space="preserve">: -,
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:  0
</t>
        </r>
        <r>
          <rPr>
            <b/>
            <sz val="9"/>
            <color indexed="81"/>
            <rFont val="돋움"/>
            <family val="3"/>
            <charset val="129"/>
          </rPr>
          <t>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최종적으로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보조금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시점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확인용</t>
        </r>
      </text>
    </comment>
  </commentList>
</comments>
</file>

<file path=xl/sharedStrings.xml><?xml version="1.0" encoding="utf-8"?>
<sst xmlns="http://schemas.openxmlformats.org/spreadsheetml/2006/main" count="21" uniqueCount="21">
  <si>
    <t>연번</t>
    <phoneticPr fontId="1" type="noConversion"/>
  </si>
  <si>
    <t>비고</t>
    <phoneticPr fontId="1" type="noConversion"/>
  </si>
  <si>
    <t>행위 일자</t>
    <phoneticPr fontId="1" type="noConversion"/>
  </si>
  <si>
    <t>구분</t>
    <phoneticPr fontId="1" type="noConversion"/>
  </si>
  <si>
    <t>철거</t>
  </si>
  <si>
    <t>신규 설치</t>
  </si>
  <si>
    <t>수량 검증</t>
    <phoneticPr fontId="1" type="noConversion"/>
  </si>
  <si>
    <t>전체</t>
    <phoneticPr fontId="1" type="noConversion"/>
  </si>
  <si>
    <t>교체 설치</t>
  </si>
  <si>
    <t>증빙 자료명</t>
    <phoneticPr fontId="1" type="noConversion"/>
  </si>
  <si>
    <r>
      <rPr>
        <b/>
        <sz val="16"/>
        <color theme="1"/>
        <rFont val="HY헤드라인M"/>
        <family val="1"/>
        <charset val="129"/>
      </rPr>
      <t>□</t>
    </r>
    <r>
      <rPr>
        <sz val="16"/>
        <color theme="1"/>
        <rFont val="HY헤드라인M"/>
        <family val="1"/>
        <charset val="129"/>
      </rPr>
      <t xml:space="preserve"> 신청지점(대기번호)별 충전기 설치 및 철거·교체 현황</t>
    </r>
    <phoneticPr fontId="1" type="noConversion"/>
  </si>
  <si>
    <t>행위 기수
(D)</t>
    <phoneticPr fontId="1" type="noConversion"/>
  </si>
  <si>
    <r>
      <t xml:space="preserve">(내구연한 8년 이전)
</t>
    </r>
    <r>
      <rPr>
        <b/>
        <sz val="11"/>
        <color rgb="FF7030A0"/>
        <rFont val="맑은 고딕"/>
        <family val="3"/>
        <charset val="129"/>
        <scheme val="minor"/>
      </rPr>
      <t>임의</t>
    </r>
    <r>
      <rPr>
        <b/>
        <sz val="11"/>
        <color theme="1"/>
        <rFont val="맑은 고딕"/>
        <family val="3"/>
        <charset val="129"/>
        <scheme val="minor"/>
      </rPr>
      <t xml:space="preserve"> 철거·교체 기수
(F)</t>
    </r>
    <phoneticPr fontId="1" type="noConversion"/>
  </si>
  <si>
    <t>3. 행위 구분_종류(ex. 3. 철거_행위허가서 등)</t>
    <phoneticPr fontId="1" type="noConversion"/>
  </si>
  <si>
    <t>1. 행위 구분_종류(ex. 1. 신규 설치_설계도면)</t>
    <phoneticPr fontId="1" type="noConversion"/>
  </si>
  <si>
    <r>
      <t xml:space="preserve">(내구연한 8년 이전)
</t>
    </r>
    <r>
      <rPr>
        <b/>
        <sz val="11"/>
        <color rgb="FF7030A0"/>
        <rFont val="맑은 고딕"/>
        <family val="3"/>
        <charset val="129"/>
        <scheme val="minor"/>
      </rPr>
      <t>불가피한</t>
    </r>
    <r>
      <rPr>
        <b/>
        <sz val="11"/>
        <color theme="1"/>
        <rFont val="맑은 고딕"/>
        <family val="3"/>
        <charset val="129"/>
        <scheme val="minor"/>
      </rPr>
      <t xml:space="preserve"> 철거·교체 기수
(G)</t>
    </r>
    <phoneticPr fontId="1" type="noConversion"/>
  </si>
  <si>
    <t>(내구연한 8년 이후)
철거·교체 기수
(E)</t>
    <phoneticPr fontId="1" type="noConversion"/>
  </si>
  <si>
    <t>최종 기설치 수량
(H=D+F)</t>
    <phoneticPr fontId="1" type="noConversion"/>
  </si>
  <si>
    <t>2. 행위 구분_종류(ex. 2. 교체 설치_행위신고서 등)</t>
    <phoneticPr fontId="1" type="noConversion"/>
  </si>
  <si>
    <r>
      <rPr>
        <b/>
        <sz val="11"/>
        <color rgb="FF0000FF"/>
        <rFont val="맑은 고딕"/>
        <family val="3"/>
        <charset val="129"/>
        <scheme val="minor"/>
      </rPr>
      <t>[예시] 총 주차면수 1,000면 (보조금 한도: 50기(5%))</t>
    </r>
    <r>
      <rPr>
        <b/>
        <sz val="11"/>
        <color theme="1"/>
        <rFont val="맑은 고딕"/>
        <family val="3"/>
        <charset val="129"/>
        <scheme val="minor"/>
      </rPr>
      <t xml:space="preserve">
1. 2012-01-01(신규 설치):</t>
    </r>
    <r>
      <rPr>
        <sz val="11"/>
        <color theme="1"/>
        <rFont val="맑은 고딕"/>
        <family val="3"/>
        <charset val="129"/>
        <scheme val="minor"/>
      </rPr>
      <t xml:space="preserve"> 건물 준공 시 건설사에서 충전기 </t>
    </r>
    <r>
      <rPr>
        <b/>
        <sz val="11"/>
        <color theme="1"/>
        <rFont val="맑은 고딕"/>
        <family val="3"/>
        <charset val="129"/>
        <scheme val="minor"/>
      </rPr>
      <t>50기 설치</t>
    </r>
    <r>
      <rPr>
        <sz val="11"/>
        <color theme="1"/>
        <rFont val="맑은 고딕"/>
        <family val="3"/>
        <charset val="129"/>
        <scheme val="minor"/>
      </rPr>
      <t xml:space="preserve">하여 </t>
    </r>
    <r>
      <rPr>
        <b/>
        <sz val="11"/>
        <color theme="1"/>
        <rFont val="맑은 고딕"/>
        <family val="3"/>
        <charset val="129"/>
        <scheme val="minor"/>
      </rPr>
      <t>아파트 자체 운영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→ (증빙 자료)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 xml:space="preserve">설계도면, 건축허가서 </t>
    </r>
    <r>
      <rPr>
        <sz val="11"/>
        <color theme="1"/>
        <rFont val="맑은 고딕"/>
        <family val="3"/>
        <charset val="129"/>
        <scheme val="minor"/>
      </rPr>
      <t xml:space="preserve">제출
</t>
    </r>
    <r>
      <rPr>
        <b/>
        <sz val="11"/>
        <color theme="1"/>
        <rFont val="맑은 고딕"/>
        <family val="3"/>
        <charset val="129"/>
        <scheme val="minor"/>
      </rPr>
      <t>2. 2019-01-01(교체 설치):</t>
    </r>
    <r>
      <rPr>
        <sz val="11"/>
        <color theme="1"/>
        <rFont val="맑은 고딕"/>
        <family val="3"/>
        <charset val="129"/>
        <scheme val="minor"/>
      </rPr>
      <t xml:space="preserve"> 아파트 자체 운영 충전기 중 </t>
    </r>
    <r>
      <rPr>
        <b/>
        <sz val="11"/>
        <color theme="1"/>
        <rFont val="맑은 고딕"/>
        <family val="3"/>
        <charset val="129"/>
        <scheme val="minor"/>
      </rPr>
      <t xml:space="preserve">20기 철거 </t>
    </r>
    <r>
      <rPr>
        <sz val="11"/>
        <color theme="1"/>
        <rFont val="맑은 고딕"/>
        <family val="3"/>
        <charset val="129"/>
        <scheme val="minor"/>
      </rPr>
      <t xml:space="preserve">후 </t>
    </r>
    <r>
      <rPr>
        <b/>
        <sz val="11"/>
        <color theme="1"/>
        <rFont val="맑은 고딕"/>
        <family val="3"/>
        <charset val="129"/>
        <scheme val="minor"/>
      </rPr>
      <t xml:space="preserve">위탁운영 충전기로 20기 교체
→ (사유) 자체 운영에 어려움이 있어 </t>
    </r>
    <r>
      <rPr>
        <b/>
        <sz val="11"/>
        <color rgb="FF7030A0"/>
        <rFont val="맑은 고딕"/>
        <family val="3"/>
        <charset val="129"/>
        <scheme val="minor"/>
      </rPr>
      <t>임의</t>
    </r>
    <r>
      <rPr>
        <b/>
        <sz val="11"/>
        <color theme="1"/>
        <rFont val="맑은 고딕"/>
        <family val="3"/>
        <charset val="129"/>
        <scheme val="minor"/>
      </rPr>
      <t xml:space="preserve"> 교체
→ (증빙 자료) 행위신고 증명서, 충전기 제조연월일 증빙 자료</t>
    </r>
    <r>
      <rPr>
        <sz val="11"/>
        <color theme="1"/>
        <rFont val="맑은 고딕"/>
        <family val="3"/>
        <charset val="129"/>
        <scheme val="minor"/>
      </rPr>
      <t xml:space="preserve"> 제출
</t>
    </r>
    <r>
      <rPr>
        <b/>
        <sz val="11"/>
        <color theme="1"/>
        <rFont val="맑은 고딕"/>
        <family val="3"/>
        <charset val="129"/>
        <scheme val="minor"/>
      </rPr>
      <t>→ (기설치 수량 산정 여부)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산정</t>
    </r>
    <r>
      <rPr>
        <sz val="11"/>
        <color theme="1"/>
        <rFont val="맑은 고딕"/>
        <family val="3"/>
        <charset val="129"/>
        <scheme val="minor"/>
      </rPr>
      <t xml:space="preserve">
  (2012.1.1.~2019.1.1. → 7년 사용 &amp; 내구연한(8년) 이전 임의 철거하여 기설치 수량으로 산정)
</t>
    </r>
    <r>
      <rPr>
        <b/>
        <sz val="11"/>
        <color theme="1"/>
        <rFont val="맑은 고딕"/>
        <family val="3"/>
        <charset val="129"/>
        <scheme val="minor"/>
      </rPr>
      <t xml:space="preserve">3. 2020-02-01(철거): </t>
    </r>
    <r>
      <rPr>
        <sz val="11"/>
        <color theme="1"/>
        <rFont val="맑은 고딕"/>
        <family val="3"/>
        <charset val="129"/>
        <scheme val="minor"/>
      </rPr>
      <t xml:space="preserve">남아있는 아파트 자체 운영 충전기 </t>
    </r>
    <r>
      <rPr>
        <b/>
        <sz val="11"/>
        <color theme="1"/>
        <rFont val="맑은 고딕"/>
        <family val="3"/>
        <charset val="129"/>
        <scheme val="minor"/>
      </rPr>
      <t>30기 완전 철거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→ (사유) 내구연한(8년) 초과
→ (증빙 자료) 행위허가 증명서 및 입대의 의결서(또는 회의록)</t>
    </r>
    <r>
      <rPr>
        <sz val="11"/>
        <color theme="1"/>
        <rFont val="맑은 고딕"/>
        <family val="3"/>
        <charset val="129"/>
        <scheme val="minor"/>
      </rPr>
      <t>제출</t>
    </r>
    <r>
      <rPr>
        <sz val="10"/>
        <color theme="1"/>
        <rFont val="맑은 고딕"/>
        <family val="3"/>
        <charset val="129"/>
        <scheme val="minor"/>
      </rPr>
      <t xml:space="preserve">(철거 수량 확인용)
</t>
    </r>
    <r>
      <rPr>
        <b/>
        <sz val="11"/>
        <color theme="1"/>
        <rFont val="맑은 고딕"/>
        <family val="3"/>
        <charset val="129"/>
        <scheme val="minor"/>
      </rPr>
      <t xml:space="preserve">→ (기설치 수량 산정 여부) </t>
    </r>
    <r>
      <rPr>
        <b/>
        <sz val="11"/>
        <color rgb="FFFF0000"/>
        <rFont val="맑은 고딕"/>
        <family val="3"/>
        <charset val="129"/>
        <scheme val="minor"/>
      </rPr>
      <t xml:space="preserve">미산정
</t>
    </r>
    <r>
      <rPr>
        <b/>
        <sz val="12"/>
        <color rgb="FFFF0000"/>
        <rFont val="맑은 고딕"/>
        <family val="3"/>
        <charset val="129"/>
      </rPr>
      <t>∴ 2026년도 보조사업 신청 가능 기수: 50기 - 40기(H열) = 10기</t>
    </r>
    <r>
      <rPr>
        <b/>
        <sz val="11"/>
        <color rgb="FFFF0000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[보조금 선정위원회]
내구연한 8년 이전, </t>
    </r>
    <r>
      <rPr>
        <b/>
        <sz val="11"/>
        <color rgb="FF7030A0"/>
        <rFont val="맑은 고딕"/>
        <family val="3"/>
        <charset val="129"/>
        <scheme val="minor"/>
      </rPr>
      <t>불가피한</t>
    </r>
    <r>
      <rPr>
        <b/>
        <sz val="11"/>
        <color theme="1"/>
        <rFont val="맑은 고딕"/>
        <family val="3"/>
        <charset val="129"/>
        <scheme val="minor"/>
      </rPr>
      <t xml:space="preserve"> 사유로 인한 철거·교체(천재지변, 화재, 건물 철거, 운영 불가(사업수행기관 파산 등))
→ (증빙 자료) 행위신고·허가 증명서, 충전기 제조연월일 증빙 자료, 불가피한 사유를 확인할 수 있는 증빙 자료 일체</t>
    </r>
    <r>
      <rPr>
        <sz val="10"/>
        <color theme="1"/>
        <rFont val="맑은 고딕"/>
        <family val="3"/>
        <charset val="129"/>
        <scheme val="minor"/>
      </rPr>
      <t>(신청자 공문 등)</t>
    </r>
    <r>
      <rPr>
        <b/>
        <sz val="11"/>
        <color theme="1"/>
        <rFont val="맑은 고딕"/>
        <family val="3"/>
        <charset val="129"/>
        <scheme val="minor"/>
      </rPr>
      <t xml:space="preserve">
→ (기설치 수량 산정 여부) </t>
    </r>
    <r>
      <rPr>
        <sz val="11"/>
        <color theme="1"/>
        <rFont val="맑은 고딕"/>
        <family val="3"/>
        <charset val="129"/>
        <scheme val="minor"/>
      </rPr>
      <t>보조금 선정위원회를 통해 기설치 수량 여부 판정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</si>
  <si>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[유의 사항]
</t>
    </r>
    <r>
      <rPr>
        <b/>
        <sz val="11"/>
        <color theme="1"/>
        <rFont val="맑은 고딕"/>
        <family val="3"/>
        <charset val="129"/>
        <scheme val="minor"/>
      </rPr>
      <t xml:space="preserve">1. 신청 지점에 </t>
    </r>
    <r>
      <rPr>
        <b/>
        <sz val="11"/>
        <color rgb="FFFF0000"/>
        <rFont val="맑은 고딕"/>
        <family val="3"/>
        <charset val="129"/>
        <scheme val="minor"/>
      </rPr>
      <t xml:space="preserve">건물이 준공된 이후로부터 모든 충전기의 설치 철거 교체 행위의 이력들을 작성
</t>
    </r>
    <r>
      <rPr>
        <b/>
        <sz val="11"/>
        <color theme="1"/>
        <rFont val="맑은 고딕"/>
        <family val="3"/>
        <charset val="129"/>
        <scheme val="minor"/>
      </rPr>
      <t xml:space="preserve">2. </t>
    </r>
    <r>
      <rPr>
        <sz val="11"/>
        <color theme="1"/>
        <rFont val="맑은 고딕"/>
        <family val="3"/>
        <charset val="129"/>
        <scheme val="minor"/>
      </rPr>
      <t>해</t>
    </r>
    <r>
      <rPr>
        <sz val="11"/>
        <rFont val="맑은 고딕"/>
        <family val="3"/>
        <charset val="129"/>
        <scheme val="minor"/>
      </rPr>
      <t xml:space="preserve">당 지점에 충전시설을 </t>
    </r>
    <r>
      <rPr>
        <b/>
        <sz val="11"/>
        <color rgb="FFFF0000"/>
        <rFont val="맑은 고딕"/>
        <family val="3"/>
        <charset val="129"/>
        <scheme val="minor"/>
      </rPr>
      <t>철거 및 교체</t>
    </r>
    <r>
      <rPr>
        <sz val="11"/>
        <rFont val="맑은 고딕"/>
        <family val="3"/>
        <charset val="129"/>
        <scheme val="minor"/>
      </rPr>
      <t xml:space="preserve">한 이력이 있는 경우, </t>
    </r>
    <r>
      <rPr>
        <b/>
        <sz val="11"/>
        <color rgb="FFFF0000"/>
        <rFont val="맑은 고딕"/>
        <family val="3"/>
        <charset val="129"/>
        <scheme val="minor"/>
      </rPr>
      <t>내구연한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증빙 자료 첨부 필수
</t>
    </r>
    <r>
      <rPr>
        <b/>
        <sz val="11"/>
        <color theme="1"/>
        <rFont val="맑은 고딕"/>
        <family val="3"/>
        <charset val="129"/>
        <scheme val="minor"/>
      </rPr>
      <t xml:space="preserve">  ※ 원칙적으로는, 충전기의 제조연월일로부터 철거일자까지 산정하여야 함
      단, 이미 철거·교체된 충전기의 내구연한(제조연월일)을 알아내기 어려울 것으로 판단 → 최대한 충전기 운영일수로 산정하는 것이 목적</t>
    </r>
    <r>
      <rPr>
        <b/>
        <sz val="11"/>
        <color rgb="FFFF0000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3.</t>
    </r>
    <r>
      <rPr>
        <b/>
        <sz val="11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불가피한 철거·교체로 기설치 수량에서 제외 요청 시 보조금 선정위원회를 통해 차감 여부 결정
</t>
    </r>
    <r>
      <rPr>
        <b/>
        <sz val="11"/>
        <color theme="1"/>
        <rFont val="맑은 고딕"/>
        <family val="3"/>
        <charset val="129"/>
        <scheme val="minor"/>
      </rPr>
      <t>[작성 방법]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>1. [B열]: 행위 일자</t>
    </r>
    <r>
      <rPr>
        <sz val="11"/>
        <rFont val="맑은 고딕"/>
        <family val="3"/>
        <charset val="129"/>
        <scheme val="minor"/>
      </rPr>
      <t xml:space="preserve">
  - 행위 신고, 행위 허가 증명서 발급 일자를 행위 일자로 작성
   ※ 단, 하나의 증명서 내에 여러가지 행위(예: 교체 설치 + 신규 설치)가 동시에 수반되는 경우, 분리하여 행 작성
  - 증명서가 없는 경우(예: 건물 준공 시 설치) k-apt 자료상 사용승인일을 행위 일자로 작성
</t>
    </r>
    <r>
      <rPr>
        <b/>
        <sz val="11"/>
        <rFont val="맑은 고딕"/>
        <family val="3"/>
        <charset val="129"/>
        <scheme val="minor"/>
      </rPr>
      <t>2. [C열]: 구분</t>
    </r>
    <r>
      <rPr>
        <sz val="11"/>
        <rFont val="맑은 고딕"/>
        <family val="3"/>
        <charset val="129"/>
        <scheme val="minor"/>
      </rPr>
      <t xml:space="preserve">
  - '신규 설치': 해당 주차면에 기설치 충전기가 없었으며 새롭게 설치하는 행위
  - '교체 설치': 설치되어 있는 충전기를 철거하고 해당 장소에 충전기만 교체하는 행위
  - '철거': 충전기를 완전 철거하여 추가 설치하지 않는 경우에 해당
</t>
    </r>
    <r>
      <rPr>
        <b/>
        <sz val="11"/>
        <rFont val="맑은 고딕"/>
        <family val="3"/>
        <charset val="129"/>
        <scheme val="minor"/>
      </rPr>
      <t>3. [D~H열, I열]: 행위 기수, 수량 검증</t>
    </r>
    <r>
      <rPr>
        <sz val="11"/>
        <rFont val="맑은 고딕"/>
        <family val="3"/>
        <charset val="129"/>
        <scheme val="minor"/>
      </rPr>
      <t xml:space="preserve">
  - 신규 설치: D열만 작성, E~H열 자동으로 빗금 표시(작성 X),
  - 교체 설치 &amp; 철거: E,F,G열 수량의 합이 D열과 일치하는지 확인 필요(I열='TRUE' 여부 검토)
</t>
    </r>
    <r>
      <rPr>
        <b/>
        <sz val="11"/>
        <rFont val="맑은 고딕"/>
        <family val="3"/>
        <charset val="129"/>
        <scheme val="minor"/>
      </rPr>
      <t xml:space="preserve">[증빙 자료]
</t>
    </r>
    <r>
      <rPr>
        <b/>
        <sz val="11"/>
        <color rgb="FF7030A0"/>
        <rFont val="맑은 고딕"/>
        <family val="3"/>
        <charset val="129"/>
        <scheme val="minor"/>
      </rPr>
      <t xml:space="preserve"> (충전기 수량 산정)</t>
    </r>
    <r>
      <rPr>
        <b/>
        <sz val="11"/>
        <rFont val="맑은 고딕"/>
        <family val="3"/>
        <charset val="129"/>
        <scheme val="minor"/>
      </rPr>
      <t xml:space="preserve">
 - </t>
    </r>
    <r>
      <rPr>
        <sz val="11"/>
        <rFont val="맑은 고딕"/>
        <family val="3"/>
        <charset val="129"/>
        <scheme val="minor"/>
      </rPr>
      <t xml:space="preserve">건물 준공하면서 충전기를 설치하여 </t>
    </r>
    <r>
      <rPr>
        <b/>
        <sz val="11"/>
        <rFont val="맑은 고딕"/>
        <family val="3"/>
        <charset val="129"/>
        <scheme val="minor"/>
      </rPr>
      <t>행위신고·허가 증명서 없는 경우: 설계도면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 xml:space="preserve"> - 그 外: 행위신고·허가 증명서 일체 및 증명서 관련 입대의 의결서(회의록)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7030A0"/>
        <rFont val="맑은 고딕"/>
        <family val="3"/>
        <charset val="129"/>
        <scheme val="minor"/>
      </rPr>
      <t xml:space="preserve"> (내구연한 산정)
</t>
    </r>
    <r>
      <rPr>
        <b/>
        <sz val="11"/>
        <color theme="1"/>
        <rFont val="맑은 고딕"/>
        <family val="3"/>
        <charset val="129"/>
        <scheme val="minor"/>
      </rPr>
      <t xml:space="preserve"> - 원칙: 충전기 명판 사진 등 제조연월일 확인
 - </t>
    </r>
    <r>
      <rPr>
        <sz val="11"/>
        <color theme="1"/>
        <rFont val="맑은 고딕"/>
        <family val="3"/>
        <charset val="129"/>
        <scheme val="minor"/>
      </rPr>
      <t xml:space="preserve">건물 준공하면서 충전기를 설치하여 </t>
    </r>
    <r>
      <rPr>
        <b/>
        <sz val="11"/>
        <color theme="1"/>
        <rFont val="맑은 고딕"/>
        <family val="3"/>
        <charset val="129"/>
        <scheme val="minor"/>
      </rPr>
      <t>행위신고·허가 증명서 없는 경우: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 xml:space="preserve">k-apt 기준 건물 </t>
    </r>
    <r>
      <rPr>
        <b/>
        <u/>
        <sz val="11"/>
        <color theme="1"/>
        <rFont val="맑은 고딕"/>
        <family val="3"/>
        <charset val="129"/>
        <scheme val="minor"/>
      </rPr>
      <t>사용승인일</t>
    </r>
    <r>
      <rPr>
        <b/>
        <sz val="11"/>
        <color theme="1"/>
        <rFont val="맑은 고딕"/>
        <family val="3"/>
        <charset val="129"/>
        <scheme val="minor"/>
      </rPr>
      <t>로부터 철거 일자까지 산정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 - 그 外: 행위신고·허가 </t>
    </r>
    <r>
      <rPr>
        <b/>
        <u/>
        <sz val="11"/>
        <color theme="1"/>
        <rFont val="맑은 고딕"/>
        <family val="3"/>
        <charset val="129"/>
        <scheme val="minor"/>
      </rPr>
      <t>증명서 발급일자</t>
    </r>
    <r>
      <rPr>
        <b/>
        <sz val="11"/>
        <color theme="1"/>
        <rFont val="맑은 고딕"/>
        <family val="3"/>
        <charset val="129"/>
        <scheme val="minor"/>
      </rPr>
      <t>로부터 철거 일자까지 산정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</si>
</sst>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HY헤드라인M"/>
      <family val="1"/>
      <charset val="129"/>
    </font>
    <font>
      <sz val="16"/>
      <color theme="1"/>
      <name val="HY헤드라인M"/>
      <family val="1"/>
      <charset val="129"/>
    </font>
    <font>
      <b/>
      <sz val="11"/>
      <color rgb="FFFF0000"/>
      <name val="맑은 고딕"/>
      <family val="3"/>
      <charset val="129"/>
      <scheme val="minor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rgb="FF7030A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1E0F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0000FF"/>
      <color rgb="FFE1E0FC"/>
      <color rgb="FFEAD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C780-A086-4625-B196-97179575BFAC}">
  <sheetPr>
    <pageSetUpPr fitToPage="1"/>
  </sheetPr>
  <dimension ref="A1:O31"/>
  <sheetViews>
    <sheetView tabSelected="1" zoomScaleNormal="100" workbookViewId="0">
      <selection activeCell="I2" sqref="I2:O3"/>
    </sheetView>
  </sheetViews>
  <sheetFormatPr defaultRowHeight="16.5"/>
  <cols>
    <col min="1" max="1" width="9" customWidth="1"/>
    <col min="2" max="4" width="13.5" customWidth="1"/>
    <col min="5" max="6" width="19.625" bestFit="1" customWidth="1"/>
    <col min="7" max="7" width="21.5" customWidth="1"/>
    <col min="8" max="8" width="16.75" bestFit="1" customWidth="1"/>
    <col min="9" max="9" width="9.875" bestFit="1" customWidth="1"/>
    <col min="10" max="10" width="48.25" style="2" customWidth="1"/>
    <col min="11" max="11" width="16.75" style="2" customWidth="1"/>
  </cols>
  <sheetData>
    <row r="1" spans="1:15" ht="30" customHeight="1">
      <c r="A1" s="1" t="s">
        <v>10</v>
      </c>
      <c r="C1" s="1"/>
      <c r="D1" s="1"/>
      <c r="E1" s="1"/>
      <c r="F1" s="1"/>
      <c r="G1" s="1"/>
      <c r="H1" s="1"/>
      <c r="I1" s="1"/>
    </row>
    <row r="2" spans="1:15" ht="63" customHeight="1">
      <c r="A2" s="11" t="s">
        <v>20</v>
      </c>
      <c r="B2" s="12"/>
      <c r="C2" s="12"/>
      <c r="D2" s="12"/>
      <c r="E2" s="12"/>
      <c r="F2" s="12"/>
      <c r="G2" s="12"/>
      <c r="H2" s="13"/>
      <c r="I2" s="17" t="s">
        <v>19</v>
      </c>
      <c r="J2" s="17"/>
      <c r="K2" s="17"/>
      <c r="L2" s="17"/>
      <c r="M2" s="17"/>
      <c r="N2" s="17"/>
      <c r="O2" s="17"/>
    </row>
    <row r="3" spans="1:15" ht="409.5" customHeight="1">
      <c r="A3" s="14"/>
      <c r="B3" s="15"/>
      <c r="C3" s="15"/>
      <c r="D3" s="15"/>
      <c r="E3" s="15"/>
      <c r="F3" s="15"/>
      <c r="G3" s="15"/>
      <c r="H3" s="16"/>
      <c r="I3" s="17"/>
      <c r="J3" s="17"/>
      <c r="K3" s="17"/>
      <c r="L3" s="17"/>
      <c r="M3" s="17"/>
      <c r="N3" s="17"/>
      <c r="O3" s="17"/>
    </row>
    <row r="5" spans="1:15" ht="23.25" customHeight="1">
      <c r="A5" s="20" t="s">
        <v>0</v>
      </c>
      <c r="B5" s="20" t="s">
        <v>2</v>
      </c>
      <c r="C5" s="20" t="s">
        <v>3</v>
      </c>
      <c r="D5" s="23" t="s">
        <v>11</v>
      </c>
      <c r="E5" s="23" t="s">
        <v>16</v>
      </c>
      <c r="F5" s="23" t="s">
        <v>12</v>
      </c>
      <c r="G5" s="23" t="s">
        <v>15</v>
      </c>
      <c r="H5" s="21" t="s">
        <v>17</v>
      </c>
      <c r="I5" s="23" t="s">
        <v>6</v>
      </c>
      <c r="J5" s="9"/>
      <c r="K5" s="18" t="s">
        <v>1</v>
      </c>
    </row>
    <row r="6" spans="1:15" s="2" customFormat="1" ht="42" customHeight="1">
      <c r="A6" s="20"/>
      <c r="B6" s="20"/>
      <c r="C6" s="20"/>
      <c r="D6" s="20"/>
      <c r="E6" s="23"/>
      <c r="F6" s="23"/>
      <c r="G6" s="23"/>
      <c r="H6" s="22"/>
      <c r="I6" s="23"/>
      <c r="J6" s="6" t="s">
        <v>9</v>
      </c>
      <c r="K6" s="18"/>
    </row>
    <row r="7" spans="1:15" s="5" customFormat="1">
      <c r="A7" s="19" t="s">
        <v>7</v>
      </c>
      <c r="B7" s="19"/>
      <c r="C7" s="19"/>
      <c r="D7" s="7">
        <f>SUMIFS(D8:D1048576,C8:C1048576,"신규 설치")-SUMIFS(D8:D1048576,C8:C1048576,"철거")</f>
        <v>20</v>
      </c>
      <c r="E7" s="7">
        <f>SUM(E8:E1048576)</f>
        <v>30</v>
      </c>
      <c r="F7" s="7">
        <f>SUM(F8:F1048576)</f>
        <v>20</v>
      </c>
      <c r="G7" s="7">
        <f>SUM(G8:G1048576)</f>
        <v>0</v>
      </c>
      <c r="H7" s="7">
        <f>D7+F7</f>
        <v>40</v>
      </c>
      <c r="I7" s="23"/>
      <c r="J7" s="8"/>
      <c r="K7" s="7"/>
    </row>
    <row r="8" spans="1:15">
      <c r="A8" s="3">
        <v>1</v>
      </c>
      <c r="B8" s="4">
        <v>40909</v>
      </c>
      <c r="C8" s="3" t="s">
        <v>5</v>
      </c>
      <c r="D8" s="3">
        <v>50</v>
      </c>
      <c r="E8" s="3"/>
      <c r="F8" s="3"/>
      <c r="G8" s="3"/>
      <c r="H8" s="3"/>
      <c r="I8" s="3" t="b">
        <f>OR(C8="신규 설치", D8=SUM(E8:G8))</f>
        <v>1</v>
      </c>
      <c r="J8" s="3" t="s">
        <v>14</v>
      </c>
    </row>
    <row r="9" spans="1:15">
      <c r="A9" s="3">
        <v>2</v>
      </c>
      <c r="B9" s="4">
        <v>43466</v>
      </c>
      <c r="C9" s="3" t="s">
        <v>8</v>
      </c>
      <c r="D9" s="3">
        <v>20</v>
      </c>
      <c r="E9" s="3"/>
      <c r="F9" s="3">
        <v>20</v>
      </c>
      <c r="G9" s="3"/>
      <c r="H9" s="3"/>
      <c r="I9" s="3" t="b">
        <f t="shared" ref="I9:I31" si="0">OR(C9="신규 설치", D9=SUM(E9:G9))</f>
        <v>1</v>
      </c>
      <c r="J9" s="3" t="s">
        <v>18</v>
      </c>
    </row>
    <row r="10" spans="1:15">
      <c r="A10" s="3">
        <v>3</v>
      </c>
      <c r="B10" s="4">
        <v>43862</v>
      </c>
      <c r="C10" s="3" t="s">
        <v>4</v>
      </c>
      <c r="D10" s="3">
        <v>30</v>
      </c>
      <c r="E10" s="3">
        <v>30</v>
      </c>
      <c r="F10" s="3"/>
      <c r="G10" s="3"/>
      <c r="H10" s="3"/>
      <c r="I10" s="3" t="b">
        <f t="shared" si="0"/>
        <v>1</v>
      </c>
      <c r="J10" s="3" t="s">
        <v>13</v>
      </c>
    </row>
    <row r="11" spans="1:15">
      <c r="C11" s="3"/>
      <c r="D11" s="10"/>
      <c r="I11" s="3" t="b">
        <f t="shared" si="0"/>
        <v>1</v>
      </c>
    </row>
    <row r="12" spans="1:15">
      <c r="C12" s="3"/>
      <c r="D12" s="10"/>
      <c r="I12" s="3" t="b">
        <f>OR(C12="신규 설치", D12=SUM(E12:G12))</f>
        <v>1</v>
      </c>
    </row>
    <row r="13" spans="1:15">
      <c r="I13" s="3" t="b">
        <f t="shared" si="0"/>
        <v>1</v>
      </c>
    </row>
    <row r="14" spans="1:15">
      <c r="I14" s="3" t="b">
        <f t="shared" si="0"/>
        <v>1</v>
      </c>
    </row>
    <row r="15" spans="1:15">
      <c r="I15" s="3" t="b">
        <f t="shared" si="0"/>
        <v>1</v>
      </c>
    </row>
    <row r="16" spans="1:15">
      <c r="I16" s="3" t="b">
        <f t="shared" si="0"/>
        <v>1</v>
      </c>
    </row>
    <row r="17" spans="9:9">
      <c r="I17" s="3" t="b">
        <f t="shared" si="0"/>
        <v>1</v>
      </c>
    </row>
    <row r="18" spans="9:9">
      <c r="I18" s="3" t="b">
        <f t="shared" si="0"/>
        <v>1</v>
      </c>
    </row>
    <row r="19" spans="9:9">
      <c r="I19" s="3" t="b">
        <f t="shared" si="0"/>
        <v>1</v>
      </c>
    </row>
    <row r="20" spans="9:9">
      <c r="I20" s="3" t="b">
        <f t="shared" si="0"/>
        <v>1</v>
      </c>
    </row>
    <row r="21" spans="9:9">
      <c r="I21" s="3" t="b">
        <f t="shared" si="0"/>
        <v>1</v>
      </c>
    </row>
    <row r="22" spans="9:9">
      <c r="I22" s="3" t="b">
        <f t="shared" si="0"/>
        <v>1</v>
      </c>
    </row>
    <row r="23" spans="9:9">
      <c r="I23" s="3" t="b">
        <f t="shared" si="0"/>
        <v>1</v>
      </c>
    </row>
    <row r="24" spans="9:9">
      <c r="I24" s="3" t="b">
        <f t="shared" si="0"/>
        <v>1</v>
      </c>
    </row>
    <row r="25" spans="9:9">
      <c r="I25" s="3" t="b">
        <f t="shared" si="0"/>
        <v>1</v>
      </c>
    </row>
    <row r="26" spans="9:9">
      <c r="I26" s="3" t="b">
        <f t="shared" si="0"/>
        <v>1</v>
      </c>
    </row>
    <row r="27" spans="9:9">
      <c r="I27" s="3" t="b">
        <f t="shared" si="0"/>
        <v>1</v>
      </c>
    </row>
    <row r="28" spans="9:9">
      <c r="I28" s="3" t="b">
        <f t="shared" si="0"/>
        <v>1</v>
      </c>
    </row>
    <row r="29" spans="9:9">
      <c r="I29" s="3" t="b">
        <f t="shared" si="0"/>
        <v>1</v>
      </c>
    </row>
    <row r="30" spans="9:9">
      <c r="I30" s="3" t="b">
        <f t="shared" si="0"/>
        <v>1</v>
      </c>
    </row>
    <row r="31" spans="9:9">
      <c r="I31" s="3" t="b">
        <f t="shared" si="0"/>
        <v>1</v>
      </c>
    </row>
  </sheetData>
  <mergeCells count="13">
    <mergeCell ref="A2:H3"/>
    <mergeCell ref="I2:O3"/>
    <mergeCell ref="K5:K6"/>
    <mergeCell ref="A7:C7"/>
    <mergeCell ref="A5:A6"/>
    <mergeCell ref="C5:C6"/>
    <mergeCell ref="H5:H6"/>
    <mergeCell ref="B5:B6"/>
    <mergeCell ref="D5:D6"/>
    <mergeCell ref="E5:E6"/>
    <mergeCell ref="F5:F6"/>
    <mergeCell ref="G5:G6"/>
    <mergeCell ref="I5:I7"/>
  </mergeCells>
  <phoneticPr fontId="1" type="noConversion"/>
  <conditionalFormatting sqref="D8:D1048576">
    <cfRule type="expression" priority="2">
      <formula>IF(C8="신규 설치", ABS(D8),-ABS(D8))</formula>
    </cfRule>
  </conditionalFormatting>
  <conditionalFormatting sqref="E8:H1048576">
    <cfRule type="expression" dxfId="1" priority="1">
      <formula>AND(NOT(ISBLANK($D8)),$I8=TRUE,E8="")</formula>
    </cfRule>
    <cfRule type="expression" dxfId="0" priority="3">
      <formula>$C8="신규 설치"</formula>
    </cfRule>
  </conditionalFormatting>
  <dataValidations count="1">
    <dataValidation type="list" allowBlank="1" showInputMessage="1" showErrorMessage="1" sqref="C8:C1048576" xr:uid="{D58FA1EA-08E8-4600-8E73-8D18D622269C}">
      <formula1>"신규 설치, 철거, 교체 설치"</formula1>
    </dataValidation>
  </dataValidations>
  <pageMargins left="0.23622047244094491" right="0.23622047244094491" top="0.74803149606299213" bottom="0.74803149606299213" header="0.31496062992125984" footer="0.31496062992125984"/>
  <pageSetup paperSize="8" scale="79" fitToHeight="0" orientation="landscape" cellComments="asDisplaye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2026-07-20T01:42:40Z</cp:lastPrinted>
  <dcterms:created xsi:type="dcterms:W3CDTF">2026-06-16T07:12:17Z</dcterms:created>
  <dcterms:modified xsi:type="dcterms:W3CDTF">2026-07-20T12:05:42Z</dcterms:modified>
</cp:coreProperties>
</file>